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nieto/Library/Mobile Documents/com~apple~CloudDocs/Documents/Documents - pe-dmue-mbp22/Subtratum_evaluation_foliar_soybean/"/>
    </mc:Choice>
  </mc:AlternateContent>
  <xr:revisionPtr revIDLastSave="0" documentId="13_ncr:1_{CF4E10D2-E48F-2E45-9477-626BED85FB04}" xr6:coauthVersionLast="47" xr6:coauthVersionMax="47" xr10:uidLastSave="{00000000-0000-0000-0000-000000000000}"/>
  <bookViews>
    <workbookView xWindow="0" yWindow="600" windowWidth="26240" windowHeight="15240" activeTab="3" xr2:uid="{49DC0FC8-E60A-2C47-9FE5-591EB2DDFB5C}"/>
  </bookViews>
  <sheets>
    <sheet name="table1" sheetId="1" r:id="rId1"/>
    <sheet name="table1 (2)" sheetId="3" r:id="rId2"/>
    <sheet name="table2" sheetId="2" r:id="rId3"/>
    <sheet name="Supplemental 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</calcChain>
</file>

<file path=xl/sharedStrings.xml><?xml version="1.0" encoding="utf-8"?>
<sst xmlns="http://schemas.openxmlformats.org/spreadsheetml/2006/main" count="155" uniqueCount="103">
  <si>
    <t>condition  </t>
  </si>
  <si>
    <t>mean  </t>
  </si>
  <si>
    <t>sd  </t>
  </si>
  <si>
    <t>n  </t>
  </si>
  <si>
    <t>se  </t>
  </si>
  <si>
    <t>comparisons </t>
  </si>
  <si>
    <t>Z </t>
  </si>
  <si>
    <t>P.adjusted </t>
  </si>
  <si>
    <t>dark </t>
  </si>
  <si>
    <t>0 </t>
  </si>
  <si>
    <t>--- </t>
  </si>
  <si>
    <t>---- </t>
  </si>
  <si>
    <t>DV8 - DV8_filter_paper </t>
  </si>
  <si>
    <t>1.3 </t>
  </si>
  <si>
    <t>1 </t>
  </si>
  <si>
    <t>light-dark  </t>
  </si>
  <si>
    <t>15.94  </t>
  </si>
  <si>
    <t>17.16  </t>
  </si>
  <si>
    <t>107  </t>
  </si>
  <si>
    <t>1.66  </t>
  </si>
  <si>
    <t>DV8 - PDA </t>
  </si>
  <si>
    <t>5.6 </t>
  </si>
  <si>
    <t>1e-07 </t>
  </si>
  <si>
    <t>light  </t>
  </si>
  <si>
    <t>5.07  </t>
  </si>
  <si>
    <t>6.55  </t>
  </si>
  <si>
    <t>0.63  </t>
  </si>
  <si>
    <t>DV8_filter_paper - PDA </t>
  </si>
  <si>
    <t>4.3 </t>
  </si>
  <si>
    <t>9e-05 </t>
  </si>
  <si>
    <t>media  </t>
  </si>
  <si>
    <t>DV8 - PGM </t>
  </si>
  <si>
    <t>2.9 </t>
  </si>
  <si>
    <t>0.02 </t>
  </si>
  <si>
    <t>SSLB  </t>
  </si>
  <si>
    <t>24.72  </t>
  </si>
  <si>
    <t>25.86  </t>
  </si>
  <si>
    <t>18  </t>
  </si>
  <si>
    <t>6.10  </t>
  </si>
  <si>
    <t>DV8_filter_paper - PGM </t>
  </si>
  <si>
    <t>1.6 </t>
  </si>
  <si>
    <t>0.6 </t>
  </si>
  <si>
    <t>DV8  </t>
  </si>
  <si>
    <t>24.28  </t>
  </si>
  <si>
    <t>17.32  </t>
  </si>
  <si>
    <t>22  </t>
  </si>
  <si>
    <t>3.69  </t>
  </si>
  <si>
    <t>PDA - PGM </t>
  </si>
  <si>
    <t>-2.7 </t>
  </si>
  <si>
    <t>0.04 </t>
  </si>
  <si>
    <t>DV8_filter_paper  </t>
  </si>
  <si>
    <t>16.96  </t>
  </si>
  <si>
    <t>12.26  </t>
  </si>
  <si>
    <t>2.61  </t>
  </si>
  <si>
    <t>DV8 - SSLB </t>
  </si>
  <si>
    <t>PGM  </t>
  </si>
  <si>
    <t>12.20  </t>
  </si>
  <si>
    <t>12.53  </t>
  </si>
  <si>
    <t>2.67  </t>
  </si>
  <si>
    <t>DV8_filter_paper - SSLB </t>
  </si>
  <si>
    <t>-0.24 </t>
  </si>
  <si>
    <t>PDA  </t>
  </si>
  <si>
    <t>3.68  </t>
  </si>
  <si>
    <t>4.18  </t>
  </si>
  <si>
    <t>23  </t>
  </si>
  <si>
    <t>0.87 </t>
  </si>
  <si>
    <t>PDA - SSLB </t>
  </si>
  <si>
    <t>-4.3 </t>
  </si>
  <si>
    <t>PGM - SSLB </t>
  </si>
  <si>
    <t>-1.7 </t>
  </si>
  <si>
    <t>0.4 </t>
  </si>
  <si>
    <t>cv</t>
  </si>
  <si>
    <t>media</t>
  </si>
  <si>
    <t>condition</t>
  </si>
  <si>
    <t>SE</t>
  </si>
  <si>
    <t>SSLB</t>
  </si>
  <si>
    <t>light-dark</t>
  </si>
  <si>
    <t xml:space="preserve"> A   </t>
  </si>
  <si>
    <t>DV8</t>
  </si>
  <si>
    <t>DV8_filter_paper</t>
  </si>
  <si>
    <t>PGM</t>
  </si>
  <si>
    <t xml:space="preserve"> AB  </t>
  </si>
  <si>
    <t>light</t>
  </si>
  <si>
    <t xml:space="preserve"> ABC </t>
  </si>
  <si>
    <t xml:space="preserve">  BCD</t>
  </si>
  <si>
    <t>PDA</t>
  </si>
  <si>
    <t xml:space="preserve">   CD</t>
  </si>
  <si>
    <t xml:space="preserve">    D</t>
  </si>
  <si>
    <t>Mean</t>
  </si>
  <si>
    <t>groups</t>
  </si>
  <si>
    <t>asymp.LCL</t>
  </si>
  <si>
    <t>asymp.UCL</t>
  </si>
  <si>
    <t>Ingredients per L</t>
  </si>
  <si>
    <t>35 g GerberⓇ 1st foodsⓇ green bean baby food + 20 g BD DifcoTM Agar</t>
  </si>
  <si>
    <t>Soybean Stem Broth</t>
  </si>
  <si>
    <t>Lima Bean Broth</t>
  </si>
  <si>
    <t>Broths</t>
  </si>
  <si>
    <t>960 mL DI, 40 mL V8 juice strained through a metal strainer,  0.6 g Calcium Carbonate, 0.2 g BD Bacto yeast extract, 1 g Sucrose, 20 g  BD DifcoTM Agar</t>
  </si>
  <si>
    <t>500 mL Soybean Stem Broth, 250 mL Lima Bean Broth,  250 mL of DI water</t>
  </si>
  <si>
    <t>100 g Soybean-stems cuts,1100mL DI water and autoclave at 121°C for 60 minutes</t>
  </si>
  <si>
    <t>400 g Lima beans, 1300mL DI water and autoclave at 121°C for 60 minutes</t>
  </si>
  <si>
    <t>For both broths filter out each  using 4 layers of cheesecloth and, If volume is below 1000mL, adjust to 1000mL with DI water, save in the freezer In need the leaftovers fro later use</t>
  </si>
  <si>
    <t>39 g of PDA BD DifcoTM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</si>
</sst>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0" fillId="0" borderId="1" xfId="0" applyBorder="1"/>
    <xf numFmtId="0" fontId="1" fillId="0" borderId="2" xfId="0" applyFont="1" applyBorder="1" applyAlignment="1">
      <alignment horizontal="right"/>
    </xf>
    <xf numFmtId="0" fontId="1" fillId="0" borderId="3" xfId="0" applyFont="1" applyBorder="1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right" vertical="center" wrapText="1"/>
    </xf>
    <xf numFmtId="0" fontId="0" fillId="0" borderId="3" xfId="0" applyBorder="1"/>
    <xf numFmtId="0" fontId="1" fillId="2" borderId="0" xfId="0" applyFont="1" applyFill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BA49-FC7A-5A45-AAE7-73B2117ACEBB}">
  <dimension ref="A1:I11"/>
  <sheetViews>
    <sheetView workbookViewId="0">
      <selection activeCell="G1" sqref="G1:I11"/>
    </sheetView>
  </sheetViews>
  <sheetFormatPr baseColWidth="10" defaultRowHeight="16" x14ac:dyDescent="0.2"/>
  <cols>
    <col min="1" max="1" width="14.83203125" customWidth="1"/>
    <col min="3" max="4" width="8" customWidth="1"/>
    <col min="5" max="5" width="8.1640625" customWidth="1"/>
    <col min="6" max="6" width="7.83203125" customWidth="1"/>
    <col min="7" max="7" width="21.5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71</v>
      </c>
      <c r="G1" s="3" t="s">
        <v>5</v>
      </c>
      <c r="H1" s="3" t="s">
        <v>6</v>
      </c>
      <c r="I1" s="3" t="s">
        <v>7</v>
      </c>
    </row>
    <row r="2" spans="1:9" x14ac:dyDescent="0.2">
      <c r="A2" s="1" t="s">
        <v>8</v>
      </c>
      <c r="B2" s="1" t="s">
        <v>9</v>
      </c>
      <c r="C2" s="1" t="s">
        <v>10</v>
      </c>
      <c r="D2" s="1" t="s">
        <v>11</v>
      </c>
      <c r="E2" s="1" t="s">
        <v>11</v>
      </c>
      <c r="F2" s="1"/>
      <c r="G2" s="1" t="s">
        <v>12</v>
      </c>
      <c r="H2" s="1" t="s">
        <v>13</v>
      </c>
      <c r="I2" s="1" t="s">
        <v>14</v>
      </c>
    </row>
    <row r="3" spans="1:9" x14ac:dyDescent="0.2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>
        <v>1.08</v>
      </c>
      <c r="G3" s="1" t="s">
        <v>20</v>
      </c>
      <c r="H3" s="1" t="s">
        <v>21</v>
      </c>
      <c r="I3" s="1" t="s">
        <v>22</v>
      </c>
    </row>
    <row r="4" spans="1:9" x14ac:dyDescent="0.2">
      <c r="A4" s="1" t="s">
        <v>23</v>
      </c>
      <c r="B4" s="1" t="s">
        <v>24</v>
      </c>
      <c r="C4" s="1" t="s">
        <v>25</v>
      </c>
      <c r="D4" s="1" t="s">
        <v>18</v>
      </c>
      <c r="E4" s="1" t="s">
        <v>26</v>
      </c>
      <c r="F4" s="2">
        <v>1.29</v>
      </c>
      <c r="G4" s="1" t="s">
        <v>27</v>
      </c>
      <c r="H4" s="1" t="s">
        <v>28</v>
      </c>
      <c r="I4" s="1" t="s">
        <v>29</v>
      </c>
    </row>
    <row r="5" spans="1:9" x14ac:dyDescent="0.2">
      <c r="A5" s="3" t="s">
        <v>30</v>
      </c>
      <c r="B5" s="3"/>
      <c r="C5" s="3"/>
      <c r="D5" s="3"/>
      <c r="E5" s="3"/>
      <c r="F5" s="1"/>
      <c r="G5" s="1" t="s">
        <v>31</v>
      </c>
      <c r="H5" s="1" t="s">
        <v>32</v>
      </c>
      <c r="I5" s="1" t="s">
        <v>33</v>
      </c>
    </row>
    <row r="6" spans="1:9" x14ac:dyDescent="0.2">
      <c r="A6" s="1" t="s">
        <v>34</v>
      </c>
      <c r="B6" s="1" t="s">
        <v>35</v>
      </c>
      <c r="C6" s="1" t="s">
        <v>36</v>
      </c>
      <c r="D6" s="1" t="s">
        <v>37</v>
      </c>
      <c r="E6" s="1" t="s">
        <v>38</v>
      </c>
      <c r="F6" s="6">
        <v>1.05</v>
      </c>
      <c r="G6" s="1" t="s">
        <v>39</v>
      </c>
      <c r="H6" s="1" t="s">
        <v>40</v>
      </c>
      <c r="I6" s="1" t="s">
        <v>41</v>
      </c>
    </row>
    <row r="7" spans="1:9" x14ac:dyDescent="0.2">
      <c r="A7" s="1" t="s">
        <v>42</v>
      </c>
      <c r="B7" s="1" t="s">
        <v>43</v>
      </c>
      <c r="C7" s="1" t="s">
        <v>44</v>
      </c>
      <c r="D7" s="1" t="s">
        <v>45</v>
      </c>
      <c r="E7" s="1" t="s">
        <v>46</v>
      </c>
      <c r="F7" s="1">
        <v>0.71</v>
      </c>
      <c r="G7" s="1" t="s">
        <v>47</v>
      </c>
      <c r="H7" s="1" t="s">
        <v>48</v>
      </c>
      <c r="I7" s="1" t="s">
        <v>49</v>
      </c>
    </row>
    <row r="8" spans="1:9" x14ac:dyDescent="0.2">
      <c r="A8" s="1" t="s">
        <v>50</v>
      </c>
      <c r="B8" s="1" t="s">
        <v>51</v>
      </c>
      <c r="C8" s="1" t="s">
        <v>52</v>
      </c>
      <c r="D8" s="1" t="s">
        <v>45</v>
      </c>
      <c r="E8" s="1" t="s">
        <v>53</v>
      </c>
      <c r="F8" s="1">
        <v>0.72</v>
      </c>
      <c r="G8" s="1" t="s">
        <v>54</v>
      </c>
      <c r="H8" s="1" t="s">
        <v>14</v>
      </c>
      <c r="I8" s="1" t="s">
        <v>14</v>
      </c>
    </row>
    <row r="9" spans="1:9" x14ac:dyDescent="0.2">
      <c r="A9" s="1" t="s">
        <v>55</v>
      </c>
      <c r="B9" s="1" t="s">
        <v>56</v>
      </c>
      <c r="C9" s="1" t="s">
        <v>57</v>
      </c>
      <c r="D9" s="1" t="s">
        <v>45</v>
      </c>
      <c r="E9" s="1" t="s">
        <v>58</v>
      </c>
      <c r="F9" s="1">
        <v>1.03</v>
      </c>
      <c r="G9" s="1" t="s">
        <v>59</v>
      </c>
      <c r="H9" s="1" t="s">
        <v>60</v>
      </c>
      <c r="I9" s="1" t="s">
        <v>14</v>
      </c>
    </row>
    <row r="10" spans="1:9" x14ac:dyDescent="0.2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>
        <v>1.1399999999999999</v>
      </c>
      <c r="G10" s="1" t="s">
        <v>66</v>
      </c>
      <c r="H10" s="1" t="s">
        <v>67</v>
      </c>
      <c r="I10" s="1" t="s">
        <v>29</v>
      </c>
    </row>
    <row r="11" spans="1:9" x14ac:dyDescent="0.2">
      <c r="A11" s="4"/>
      <c r="B11" s="4"/>
      <c r="C11" s="4"/>
      <c r="D11" s="4"/>
      <c r="E11" s="4"/>
      <c r="F11" s="4"/>
      <c r="G11" s="2" t="s">
        <v>68</v>
      </c>
      <c r="H11" s="2" t="s">
        <v>69</v>
      </c>
      <c r="I11" s="2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6B41-A5E8-9345-9AAD-A6481BC5A675}">
  <dimension ref="A1:P19"/>
  <sheetViews>
    <sheetView workbookViewId="0">
      <selection activeCell="A5" sqref="A5:A9"/>
    </sheetView>
  </sheetViews>
  <sheetFormatPr baseColWidth="10" defaultRowHeight="16" x14ac:dyDescent="0.2"/>
  <cols>
    <col min="1" max="1" width="14.83203125" customWidth="1"/>
    <col min="3" max="4" width="8" customWidth="1"/>
    <col min="5" max="5" width="8.1640625" customWidth="1"/>
    <col min="6" max="6" width="7.83203125" customWidth="1"/>
    <col min="7" max="7" width="21.5" customWidth="1"/>
  </cols>
  <sheetData>
    <row r="1" spans="1:16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71</v>
      </c>
      <c r="G1" s="3"/>
      <c r="H1" s="3"/>
      <c r="I1" s="3"/>
    </row>
    <row r="2" spans="1:16" x14ac:dyDescent="0.2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>
        <v>1.08</v>
      </c>
      <c r="G2" s="1"/>
      <c r="H2" s="1"/>
      <c r="I2" s="1"/>
    </row>
    <row r="3" spans="1:16" x14ac:dyDescent="0.2">
      <c r="A3" s="1" t="s">
        <v>23</v>
      </c>
      <c r="B3" s="1" t="s">
        <v>24</v>
      </c>
      <c r="C3" s="1" t="s">
        <v>25</v>
      </c>
      <c r="D3" s="1" t="s">
        <v>18</v>
      </c>
      <c r="E3" s="1" t="s">
        <v>26</v>
      </c>
      <c r="F3" s="2">
        <v>1.29</v>
      </c>
      <c r="G3" s="1"/>
      <c r="H3" s="1"/>
      <c r="I3" s="1"/>
    </row>
    <row r="4" spans="1:16" x14ac:dyDescent="0.2">
      <c r="A4" s="3" t="s">
        <v>30</v>
      </c>
      <c r="B4" s="3"/>
      <c r="C4" s="3"/>
      <c r="D4" s="3"/>
      <c r="E4" s="3"/>
      <c r="F4" s="3"/>
      <c r="G4" s="1"/>
      <c r="H4" s="1"/>
      <c r="I4" s="1"/>
    </row>
    <row r="5" spans="1:16" x14ac:dyDescent="0.2">
      <c r="A5" s="7" t="s">
        <v>78</v>
      </c>
      <c r="B5" s="14">
        <v>17.399999999999999</v>
      </c>
      <c r="C5" s="14">
        <v>15.56</v>
      </c>
      <c r="D5" s="14">
        <v>44</v>
      </c>
      <c r="E5" s="14">
        <v>2.35</v>
      </c>
      <c r="F5" s="8">
        <v>0.89</v>
      </c>
      <c r="G5" s="1"/>
      <c r="H5" s="1"/>
      <c r="I5" s="1"/>
    </row>
    <row r="6" spans="1:16" x14ac:dyDescent="0.2">
      <c r="A6" s="7" t="s">
        <v>75</v>
      </c>
      <c r="B6" s="14">
        <v>13.02</v>
      </c>
      <c r="C6" s="14">
        <v>20.87</v>
      </c>
      <c r="D6" s="14">
        <v>38</v>
      </c>
      <c r="E6" s="14">
        <v>3.39</v>
      </c>
      <c r="F6" s="8">
        <v>1.6</v>
      </c>
      <c r="G6" s="1"/>
      <c r="H6" s="1"/>
      <c r="I6" s="1"/>
    </row>
    <row r="7" spans="1:16" x14ac:dyDescent="0.2">
      <c r="A7" s="1" t="s">
        <v>50</v>
      </c>
      <c r="B7" s="14">
        <v>11.11</v>
      </c>
      <c r="C7" s="14">
        <v>11.04</v>
      </c>
      <c r="D7" s="14">
        <v>44</v>
      </c>
      <c r="E7" s="14">
        <v>1.66</v>
      </c>
      <c r="F7" s="8">
        <v>0.99</v>
      </c>
      <c r="G7" s="1"/>
      <c r="H7" s="1"/>
      <c r="I7" s="1"/>
    </row>
    <row r="8" spans="1:16" x14ac:dyDescent="0.2">
      <c r="A8" s="1" t="s">
        <v>55</v>
      </c>
      <c r="B8" s="14">
        <v>7.32</v>
      </c>
      <c r="C8" s="14">
        <v>10.37</v>
      </c>
      <c r="D8" s="14">
        <v>43</v>
      </c>
      <c r="E8" s="14">
        <v>1.58</v>
      </c>
      <c r="F8" s="8">
        <v>1.42</v>
      </c>
      <c r="G8" s="1"/>
      <c r="H8" s="1"/>
      <c r="I8" s="1"/>
    </row>
    <row r="9" spans="1:16" x14ac:dyDescent="0.2">
      <c r="A9" s="1" t="s">
        <v>61</v>
      </c>
      <c r="B9" s="14">
        <v>4.09</v>
      </c>
      <c r="C9" s="14">
        <v>5.13</v>
      </c>
      <c r="D9" s="14">
        <v>45</v>
      </c>
      <c r="E9" s="14">
        <v>0.76</v>
      </c>
      <c r="F9" s="8">
        <v>1.25</v>
      </c>
      <c r="G9" s="1"/>
      <c r="H9" s="1"/>
      <c r="I9" s="1"/>
    </row>
    <row r="10" spans="1:16" x14ac:dyDescent="0.2">
      <c r="A10" s="13"/>
      <c r="B10" s="13"/>
      <c r="C10" s="13"/>
      <c r="D10" s="13"/>
      <c r="E10" s="13"/>
      <c r="F10" s="13"/>
      <c r="G10" s="1"/>
      <c r="H10" s="1"/>
      <c r="I10" s="1"/>
    </row>
    <row r="14" spans="1:16" x14ac:dyDescent="0.2">
      <c r="K14" s="7"/>
      <c r="L14" s="8"/>
      <c r="M14" s="8"/>
      <c r="N14" s="8"/>
      <c r="O14" s="8"/>
      <c r="P14" s="8"/>
    </row>
    <row r="15" spans="1:16" x14ac:dyDescent="0.2">
      <c r="K15" s="7"/>
      <c r="L15" s="8"/>
      <c r="M15" s="8"/>
      <c r="N15" s="8"/>
      <c r="O15" s="8"/>
      <c r="P15" s="8"/>
    </row>
    <row r="16" spans="1:16" x14ac:dyDescent="0.2">
      <c r="K16" s="7"/>
      <c r="L16" s="8"/>
      <c r="M16" s="8"/>
      <c r="N16" s="8"/>
      <c r="O16" s="8"/>
      <c r="P16" s="8"/>
    </row>
    <row r="17" spans="11:16" x14ac:dyDescent="0.2">
      <c r="K17" s="7"/>
      <c r="L17" s="8"/>
      <c r="M17" s="8"/>
      <c r="N17" s="8"/>
      <c r="O17" s="8"/>
      <c r="P17" s="8"/>
    </row>
    <row r="18" spans="11:16" x14ac:dyDescent="0.2">
      <c r="K18" s="7"/>
      <c r="L18" s="8"/>
      <c r="M18" s="8"/>
      <c r="N18" s="8"/>
      <c r="O18" s="8"/>
      <c r="P18" s="8"/>
    </row>
    <row r="19" spans="11:16" x14ac:dyDescent="0.2">
      <c r="K19" s="7"/>
      <c r="L19" s="8"/>
      <c r="M19" s="8"/>
      <c r="N19" s="8"/>
      <c r="O19" s="8"/>
      <c r="P19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0C4FB-945E-D044-B33B-A299DA2534B3}">
  <dimension ref="A1:P17"/>
  <sheetViews>
    <sheetView workbookViewId="0">
      <selection sqref="A1:B1"/>
    </sheetView>
  </sheetViews>
  <sheetFormatPr baseColWidth="10" defaultRowHeight="16" x14ac:dyDescent="0.2"/>
  <cols>
    <col min="1" max="1" width="14.83203125" customWidth="1"/>
    <col min="3" max="3" width="10.6640625" customWidth="1"/>
    <col min="4" max="4" width="8" customWidth="1"/>
  </cols>
  <sheetData>
    <row r="1" spans="1:16" x14ac:dyDescent="0.2">
      <c r="A1" s="11" t="s">
        <v>72</v>
      </c>
      <c r="B1" s="11" t="s">
        <v>73</v>
      </c>
      <c r="C1" s="12" t="s">
        <v>88</v>
      </c>
      <c r="D1" s="12" t="s">
        <v>74</v>
      </c>
      <c r="E1" s="12" t="s">
        <v>90</v>
      </c>
      <c r="F1" s="12" t="s">
        <v>91</v>
      </c>
      <c r="G1" s="11" t="s">
        <v>89</v>
      </c>
    </row>
    <row r="2" spans="1:16" x14ac:dyDescent="0.2">
      <c r="A2" s="7" t="s">
        <v>75</v>
      </c>
      <c r="B2" s="7" t="s">
        <v>76</v>
      </c>
      <c r="C2" s="8">
        <v>24.72</v>
      </c>
      <c r="D2" s="8">
        <v>5.47</v>
      </c>
      <c r="E2">
        <f>ROUND(J2,2)</f>
        <v>13.3</v>
      </c>
      <c r="F2">
        <f>ROUND(K2,2)</f>
        <v>45.95</v>
      </c>
      <c r="G2" s="7" t="s">
        <v>77</v>
      </c>
      <c r="J2" s="8">
        <v>13.302490000000001</v>
      </c>
      <c r="K2" s="8">
        <v>45.945404000000003</v>
      </c>
    </row>
    <row r="3" spans="1:16" x14ac:dyDescent="0.2">
      <c r="A3" s="7" t="s">
        <v>78</v>
      </c>
      <c r="B3" s="7" t="s">
        <v>76</v>
      </c>
      <c r="C3" s="8">
        <v>24.28</v>
      </c>
      <c r="D3" s="8">
        <v>4.8600000000000003</v>
      </c>
      <c r="E3">
        <f t="shared" ref="E3:E11" si="0">ROUND(J3,2)</f>
        <v>13.86</v>
      </c>
      <c r="F3">
        <f t="shared" ref="F3:F11" si="1">ROUND(K3,2)</f>
        <v>42.54</v>
      </c>
      <c r="G3" s="7" t="s">
        <v>77</v>
      </c>
      <c r="J3" s="8">
        <v>13.85716</v>
      </c>
      <c r="K3" s="8">
        <v>42.536937999999999</v>
      </c>
    </row>
    <row r="4" spans="1:16" x14ac:dyDescent="0.2">
      <c r="A4" s="7" t="s">
        <v>79</v>
      </c>
      <c r="B4" s="7" t="s">
        <v>76</v>
      </c>
      <c r="C4" s="8">
        <v>16.96</v>
      </c>
      <c r="D4" s="8">
        <v>3.43</v>
      </c>
      <c r="E4">
        <f t="shared" si="0"/>
        <v>9.6300000000000008</v>
      </c>
      <c r="F4">
        <f t="shared" si="1"/>
        <v>29.86</v>
      </c>
      <c r="G4" s="7" t="s">
        <v>77</v>
      </c>
      <c r="J4" s="8">
        <v>9.6342040000000004</v>
      </c>
      <c r="K4" s="8">
        <v>29.857091</v>
      </c>
    </row>
    <row r="5" spans="1:16" x14ac:dyDescent="0.2">
      <c r="A5" s="7" t="s">
        <v>80</v>
      </c>
      <c r="B5" s="7" t="s">
        <v>76</v>
      </c>
      <c r="C5" s="8">
        <v>12.2</v>
      </c>
      <c r="D5" s="8">
        <v>2.4900000000000002</v>
      </c>
      <c r="E5">
        <f t="shared" si="0"/>
        <v>6.89</v>
      </c>
      <c r="F5">
        <f t="shared" si="1"/>
        <v>21.62</v>
      </c>
      <c r="G5" s="7" t="s">
        <v>81</v>
      </c>
      <c r="J5" s="8">
        <v>6.8905779999999996</v>
      </c>
      <c r="K5" s="8">
        <v>21.616607999999999</v>
      </c>
    </row>
    <row r="6" spans="1:16" x14ac:dyDescent="0.2">
      <c r="A6" s="7" t="s">
        <v>78</v>
      </c>
      <c r="B6" s="7" t="s">
        <v>82</v>
      </c>
      <c r="C6" s="8">
        <v>10.53</v>
      </c>
      <c r="D6" s="8">
        <v>2.16</v>
      </c>
      <c r="E6">
        <f t="shared" si="0"/>
        <v>5.92</v>
      </c>
      <c r="F6">
        <f t="shared" si="1"/>
        <v>18.71</v>
      </c>
      <c r="G6" s="7" t="s">
        <v>83</v>
      </c>
      <c r="J6" s="8">
        <v>5.9238580000000001</v>
      </c>
      <c r="K6" s="8">
        <v>18.712026999999999</v>
      </c>
    </row>
    <row r="7" spans="1:16" x14ac:dyDescent="0.2">
      <c r="A7" s="7" t="s">
        <v>79</v>
      </c>
      <c r="B7" s="7" t="s">
        <v>82</v>
      </c>
      <c r="C7" s="8">
        <v>5.25</v>
      </c>
      <c r="D7" s="8">
        <v>1.1200000000000001</v>
      </c>
      <c r="E7">
        <f t="shared" si="0"/>
        <v>2.88</v>
      </c>
      <c r="F7">
        <f t="shared" si="1"/>
        <v>9.56</v>
      </c>
      <c r="G7" s="7" t="s">
        <v>84</v>
      </c>
      <c r="J7" s="8">
        <v>2.8822920000000001</v>
      </c>
      <c r="K7" s="8">
        <v>9.5627030000000008</v>
      </c>
      <c r="L7" s="8"/>
      <c r="M7" s="8"/>
      <c r="N7" s="8"/>
      <c r="O7" s="8"/>
      <c r="P7" s="7"/>
    </row>
    <row r="8" spans="1:16" x14ac:dyDescent="0.2">
      <c r="A8" s="7" t="s">
        <v>85</v>
      </c>
      <c r="B8" s="7" t="s">
        <v>82</v>
      </c>
      <c r="C8" s="8">
        <v>4.53</v>
      </c>
      <c r="D8" s="8">
        <v>0.98</v>
      </c>
      <c r="E8">
        <f t="shared" si="0"/>
        <v>2.4700000000000002</v>
      </c>
      <c r="F8">
        <f t="shared" si="1"/>
        <v>8.31</v>
      </c>
      <c r="G8" s="7" t="s">
        <v>86</v>
      </c>
      <c r="J8" s="8">
        <v>2.4673189999999998</v>
      </c>
      <c r="K8" s="8">
        <v>8.311242</v>
      </c>
      <c r="L8" s="8"/>
      <c r="M8" s="8"/>
      <c r="N8" s="8"/>
      <c r="O8" s="8"/>
      <c r="P8" s="7"/>
    </row>
    <row r="9" spans="1:16" x14ac:dyDescent="0.2">
      <c r="A9" s="7" t="s">
        <v>85</v>
      </c>
      <c r="B9" s="7" t="s">
        <v>76</v>
      </c>
      <c r="C9" s="8">
        <v>3.68</v>
      </c>
      <c r="D9" s="8">
        <v>0.8</v>
      </c>
      <c r="E9">
        <f t="shared" si="0"/>
        <v>2.0099999999999998</v>
      </c>
      <c r="F9">
        <f t="shared" si="1"/>
        <v>6.75</v>
      </c>
      <c r="G9" s="7" t="s">
        <v>87</v>
      </c>
      <c r="J9" s="8">
        <v>2.0068700000000002</v>
      </c>
      <c r="K9" s="8">
        <v>6.745628</v>
      </c>
      <c r="L9" s="8"/>
      <c r="M9" s="8"/>
      <c r="N9" s="8"/>
      <c r="O9" s="8"/>
      <c r="P9" s="7"/>
    </row>
    <row r="10" spans="1:16" x14ac:dyDescent="0.2">
      <c r="A10" s="7" t="s">
        <v>75</v>
      </c>
      <c r="B10" s="7" t="s">
        <v>82</v>
      </c>
      <c r="C10" s="8">
        <v>2.4900000000000002</v>
      </c>
      <c r="D10" s="8">
        <v>0.61</v>
      </c>
      <c r="E10">
        <f t="shared" si="0"/>
        <v>1.26</v>
      </c>
      <c r="F10">
        <f t="shared" si="1"/>
        <v>4.93</v>
      </c>
      <c r="G10" s="7" t="s">
        <v>87</v>
      </c>
      <c r="J10" s="8">
        <v>1.2605280000000001</v>
      </c>
      <c r="K10" s="8">
        <v>4.933478</v>
      </c>
      <c r="L10" s="8"/>
      <c r="M10" s="8"/>
      <c r="N10" s="8"/>
      <c r="O10" s="8"/>
      <c r="P10" s="7"/>
    </row>
    <row r="11" spans="1:16" x14ac:dyDescent="0.2">
      <c r="A11" s="9" t="s">
        <v>80</v>
      </c>
      <c r="B11" s="9" t="s">
        <v>82</v>
      </c>
      <c r="C11" s="10">
        <v>2.21</v>
      </c>
      <c r="D11" s="10">
        <v>0.53</v>
      </c>
      <c r="E11" s="4">
        <f t="shared" si="0"/>
        <v>1.1200000000000001</v>
      </c>
      <c r="F11" s="4">
        <f t="shared" si="1"/>
        <v>4.3499999999999996</v>
      </c>
      <c r="G11" s="9" t="s">
        <v>87</v>
      </c>
      <c r="J11" s="8">
        <v>1.1209990000000001</v>
      </c>
      <c r="K11" s="8">
        <v>4.3503480000000003</v>
      </c>
      <c r="L11" s="8"/>
      <c r="M11" s="8"/>
      <c r="N11" s="8"/>
      <c r="O11" s="8"/>
      <c r="P11" s="7"/>
    </row>
    <row r="12" spans="1:16" x14ac:dyDescent="0.2">
      <c r="J12" s="7"/>
      <c r="K12" s="8"/>
      <c r="L12" s="8"/>
      <c r="M12" s="8"/>
      <c r="N12" s="8"/>
      <c r="O12" s="8"/>
      <c r="P12" s="7"/>
    </row>
    <row r="13" spans="1:16" x14ac:dyDescent="0.2">
      <c r="J13" s="7"/>
      <c r="K13" s="8"/>
      <c r="L13" s="8"/>
      <c r="M13" s="8"/>
      <c r="N13" s="8"/>
      <c r="O13" s="8"/>
      <c r="P13" s="7"/>
    </row>
    <row r="14" spans="1:16" x14ac:dyDescent="0.2">
      <c r="J14" s="7"/>
      <c r="K14" s="8"/>
      <c r="L14" s="8"/>
      <c r="M14" s="8"/>
      <c r="N14" s="8"/>
      <c r="O14" s="8"/>
      <c r="P14" s="7"/>
    </row>
    <row r="15" spans="1:16" x14ac:dyDescent="0.2">
      <c r="J15" s="7"/>
      <c r="K15" s="8"/>
      <c r="L15" s="8"/>
      <c r="M15" s="8"/>
      <c r="N15" s="8"/>
      <c r="O15" s="8"/>
      <c r="P15" s="7"/>
    </row>
    <row r="16" spans="1:16" x14ac:dyDescent="0.2">
      <c r="J16" s="7"/>
      <c r="K16" s="8"/>
      <c r="L16" s="8"/>
      <c r="M16" s="8"/>
      <c r="N16" s="8"/>
      <c r="O16" s="8"/>
      <c r="P16" s="7"/>
    </row>
    <row r="17" spans="10:16" x14ac:dyDescent="0.2">
      <c r="J17" s="7"/>
      <c r="K17" s="8"/>
      <c r="L17" s="8"/>
      <c r="M17" s="8"/>
      <c r="N17" s="8"/>
      <c r="O17" s="8"/>
      <c r="P1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5DE9-6578-B34E-9EB3-A178D108B76C}">
  <dimension ref="A1:B8"/>
  <sheetViews>
    <sheetView tabSelected="1" topLeftCell="A2" workbookViewId="0">
      <selection activeCell="B5" sqref="B5"/>
    </sheetView>
  </sheetViews>
  <sheetFormatPr baseColWidth="10" defaultRowHeight="16" x14ac:dyDescent="0.2"/>
  <cols>
    <col min="2" max="2" width="15.1640625" customWidth="1"/>
  </cols>
  <sheetData>
    <row r="1" spans="1:2" x14ac:dyDescent="0.2">
      <c r="A1" s="11" t="s">
        <v>72</v>
      </c>
      <c r="B1" s="11" t="s">
        <v>92</v>
      </c>
    </row>
    <row r="2" spans="1:2" ht="170" x14ac:dyDescent="0.2">
      <c r="A2" s="7" t="s">
        <v>78</v>
      </c>
      <c r="B2" s="16" t="s">
        <v>97</v>
      </c>
    </row>
    <row r="3" spans="1:2" ht="85" x14ac:dyDescent="0.2">
      <c r="A3" s="7" t="s">
        <v>75</v>
      </c>
      <c r="B3" s="16" t="s">
        <v>98</v>
      </c>
    </row>
    <row r="4" spans="1:2" ht="70" x14ac:dyDescent="0.2">
      <c r="A4" s="19" t="s">
        <v>55</v>
      </c>
      <c r="B4" s="17" t="s">
        <v>93</v>
      </c>
    </row>
    <row r="5" spans="1:2" x14ac:dyDescent="0.2">
      <c r="A5" s="19" t="s">
        <v>61</v>
      </c>
      <c r="B5" s="18" t="s">
        <v>102</v>
      </c>
    </row>
    <row r="6" spans="1:2" ht="204" x14ac:dyDescent="0.2">
      <c r="A6" s="15" t="s">
        <v>96</v>
      </c>
      <c r="B6" s="16" t="s">
        <v>101</v>
      </c>
    </row>
    <row r="7" spans="1:2" ht="98" x14ac:dyDescent="0.2">
      <c r="A7" s="15" t="s">
        <v>94</v>
      </c>
      <c r="B7" s="17" t="s">
        <v>99</v>
      </c>
    </row>
    <row r="8" spans="1:2" ht="84" x14ac:dyDescent="0.2">
      <c r="A8" s="15" t="s">
        <v>95</v>
      </c>
      <c r="B8" s="17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table1</vt:lpstr>
      <vt:lpstr>table1 (2)</vt:lpstr>
      <vt:lpstr>table2</vt:lpstr>
      <vt:lpstr>Supplemental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Nieto, Edgar [PPEM]</dc:creator>
  <cp:lastModifiedBy>Nieto, Edgar [PPEM]</cp:lastModifiedBy>
  <dcterms:created xsi:type="dcterms:W3CDTF">2024-06-22T00:42:14Z</dcterms:created>
  <dcterms:modified xsi:type="dcterms:W3CDTF">2025-11-18T06:15:34Z</dcterms:modified>
</cp:coreProperties>
</file>